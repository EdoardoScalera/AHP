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ttu-my.sharepoint.com/personal/edoard_taltech_ee/Documents/Documents/GitHub/AHP/docs/"/>
    </mc:Choice>
  </mc:AlternateContent>
  <xr:revisionPtr revIDLastSave="72" documentId="8_{FB023FA9-18DC-45B0-9F8A-DF721DFF8B70}" xr6:coauthVersionLast="47" xr6:coauthVersionMax="47" xr10:uidLastSave="{78746A4D-EB66-4C1E-AE13-A824C9561A89}"/>
  <bookViews>
    <workbookView xWindow="-15420" yWindow="-3345" windowWidth="12150" windowHeight="20745" xr2:uid="{198BE654-42EA-4543-B053-C3E99F4355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F30" i="1" s="1"/>
  <c r="I15" i="1" l="1" a="1"/>
  <c r="H15" i="1" a="1"/>
  <c r="G15" i="1" a="1"/>
  <c r="F15" i="1" a="1"/>
  <c r="E15" i="1" a="1"/>
  <c r="D15" i="1" a="1"/>
  <c r="C15" i="1" a="1"/>
  <c r="B15" i="1" a="1"/>
  <c r="H14" i="1" a="1"/>
  <c r="G14" i="1" a="1"/>
  <c r="F14" i="1" a="1"/>
  <c r="E14" i="1" a="1"/>
  <c r="D14" i="1" a="1"/>
  <c r="C14" i="1" a="1"/>
  <c r="B14" i="1" a="1"/>
  <c r="G13" i="1" a="1"/>
  <c r="F13" i="1" a="1"/>
  <c r="E13" i="1" a="1"/>
  <c r="D13" i="1" a="1"/>
  <c r="C13" i="1" a="1"/>
  <c r="B13" i="1" a="1"/>
  <c r="F12" i="1" a="1"/>
  <c r="E12" i="1" a="1"/>
  <c r="D12" i="1" a="1"/>
  <c r="C12" i="1" a="1"/>
  <c r="B12" i="1" a="1"/>
  <c r="E11" i="1" a="1"/>
  <c r="D11" i="1" a="1"/>
  <c r="C11" i="1" a="1"/>
  <c r="B11" i="1" a="1"/>
  <c r="D10" i="1" a="1"/>
  <c r="C10" i="1" a="1"/>
  <c r="B10" i="1" a="1"/>
  <c r="C9" i="1" a="1"/>
  <c r="B9" i="1" a="1"/>
  <c r="B8" i="1" a="1"/>
  <c r="I15" i="1" l="1"/>
  <c r="H15" i="1"/>
  <c r="G15" i="1"/>
  <c r="F15" i="1"/>
  <c r="E15" i="1"/>
  <c r="D15" i="1"/>
  <c r="C15" i="1"/>
  <c r="B15" i="1"/>
  <c r="H14" i="1"/>
  <c r="H16" i="1" s="1"/>
  <c r="G14" i="1"/>
  <c r="F14" i="1"/>
  <c r="E14" i="1"/>
  <c r="D14" i="1"/>
  <c r="C14" i="1"/>
  <c r="B14" i="1"/>
  <c r="G13" i="1"/>
  <c r="F13" i="1"/>
  <c r="E13" i="1"/>
  <c r="D13" i="1"/>
  <c r="C13" i="1"/>
  <c r="B13" i="1"/>
  <c r="F12" i="1"/>
  <c r="E12" i="1"/>
  <c r="D12" i="1"/>
  <c r="C12" i="1"/>
  <c r="B12" i="1"/>
  <c r="E11" i="1"/>
  <c r="D11" i="1"/>
  <c r="C11" i="1"/>
  <c r="B11" i="1"/>
  <c r="D10" i="1"/>
  <c r="C10" i="1"/>
  <c r="B10" i="1"/>
  <c r="C9" i="1"/>
  <c r="B9" i="1"/>
  <c r="B8" i="1"/>
  <c r="E16" i="1" l="1"/>
  <c r="E23" i="1" s="1"/>
  <c r="H26" i="1"/>
  <c r="B16" i="1"/>
  <c r="B26" i="1" s="1"/>
  <c r="L26" i="1" s="1"/>
  <c r="F16" i="1"/>
  <c r="F23" i="1" s="1"/>
  <c r="C16" i="1"/>
  <c r="C21" i="1" s="1"/>
  <c r="D16" i="1"/>
  <c r="D25" i="1" s="1"/>
  <c r="G16" i="1"/>
  <c r="G25" i="1" s="1"/>
  <c r="I16" i="1"/>
  <c r="I26" i="1" s="1"/>
  <c r="E24" i="1" l="1"/>
  <c r="E25" i="1"/>
  <c r="E26" i="1"/>
  <c r="E22" i="1"/>
  <c r="B19" i="1"/>
  <c r="D21" i="1"/>
  <c r="F24" i="1"/>
  <c r="F26" i="1"/>
  <c r="B25" i="1"/>
  <c r="C24" i="1"/>
  <c r="C20" i="1"/>
  <c r="C19" i="1"/>
  <c r="C25" i="1"/>
  <c r="B24" i="1"/>
  <c r="B20" i="1"/>
  <c r="B23" i="1"/>
  <c r="B22" i="1"/>
  <c r="G24" i="1"/>
  <c r="I25" i="1"/>
  <c r="I19" i="1"/>
  <c r="I20" i="1"/>
  <c r="I21" i="1"/>
  <c r="I24" i="1"/>
  <c r="I22" i="1"/>
  <c r="I23" i="1"/>
  <c r="G26" i="1"/>
  <c r="D26" i="1"/>
  <c r="C22" i="1"/>
  <c r="C26" i="1"/>
  <c r="C23" i="1"/>
  <c r="H25" i="1"/>
  <c r="H19" i="1"/>
  <c r="H22" i="1"/>
  <c r="H20" i="1"/>
  <c r="H24" i="1"/>
  <c r="H23" i="1"/>
  <c r="H21" i="1"/>
  <c r="D19" i="1"/>
  <c r="D20" i="1"/>
  <c r="D22" i="1"/>
  <c r="B21" i="1"/>
  <c r="D23" i="1"/>
  <c r="F25" i="1"/>
  <c r="F19" i="1"/>
  <c r="F20" i="1"/>
  <c r="F22" i="1"/>
  <c r="F21" i="1"/>
  <c r="D24" i="1"/>
  <c r="E20" i="1"/>
  <c r="E19" i="1"/>
  <c r="E21" i="1"/>
  <c r="G21" i="1"/>
  <c r="G19" i="1"/>
  <c r="G22" i="1"/>
  <c r="G20" i="1"/>
  <c r="G23" i="1"/>
  <c r="I27" i="1" l="1"/>
  <c r="L24" i="1"/>
  <c r="L22" i="1"/>
  <c r="L20" i="1"/>
  <c r="L25" i="1"/>
  <c r="C27" i="1"/>
  <c r="L23" i="1"/>
  <c r="B27" i="1"/>
  <c r="L19" i="1"/>
  <c r="L21" i="1"/>
  <c r="G27" i="1"/>
  <c r="D27" i="1"/>
  <c r="E27" i="1"/>
  <c r="F27" i="1"/>
  <c r="H27" i="1"/>
  <c r="L27" i="1" l="1"/>
  <c r="B36" i="1" a="1"/>
  <c r="B36" i="1" s="1"/>
  <c r="C36" i="1" s="1"/>
  <c r="B35" i="1" a="1"/>
  <c r="B35" i="1" s="1"/>
  <c r="B32" i="1" a="1"/>
  <c r="B32" i="1" s="1"/>
  <c r="C32" i="1" s="1"/>
  <c r="B33" i="1" a="1"/>
  <c r="B33" i="1" s="1"/>
  <c r="C33" i="1" s="1"/>
  <c r="B31" i="1" a="1"/>
  <c r="B31" i="1" s="1"/>
  <c r="B37" i="1" a="1"/>
  <c r="B37" i="1" s="1"/>
  <c r="C37" i="1" s="1"/>
  <c r="B30" i="1" a="1"/>
  <c r="B30" i="1" s="1"/>
  <c r="B34" i="1" a="1"/>
  <c r="B34" i="1" s="1"/>
  <c r="C34" i="1" s="1"/>
  <c r="C35" i="1" l="1"/>
  <c r="C31" i="1"/>
  <c r="C30" i="1"/>
  <c r="C38" i="1" l="1"/>
  <c r="E30" i="1" s="1"/>
  <c r="G30" i="1" s="1"/>
  <c r="K12" i="1" s="1"/>
  <c r="L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<sst xmlns="http://schemas.openxmlformats.org/spreadsheetml/2006/main" count="74" uniqueCount="33">
  <si>
    <t xml:space="preserve">Stakeholders will be asked to fill the Criteria table </t>
  </si>
  <si>
    <t>How important is criterion "a" relative to criterion "b" for the stakeholder? Assing a score from 1 (equal importance) to 9 (extreme importance). Type only in the yellow cells</t>
  </si>
  <si>
    <t>Consistency ratio</t>
  </si>
  <si>
    <t>Energy performance</t>
  </si>
  <si>
    <t>Water use</t>
  </si>
  <si>
    <t>Climate impact</t>
  </si>
  <si>
    <t>Economic performance</t>
  </si>
  <si>
    <t>IEQ</t>
  </si>
  <si>
    <t xml:space="preserve">Energy system integration </t>
  </si>
  <si>
    <t>Technical feasibility</t>
  </si>
  <si>
    <t>Social impact</t>
  </si>
  <si>
    <t>the scores are considered acceptable if the CR
don’t exceeds 10%</t>
  </si>
  <si>
    <t>CR</t>
  </si>
  <si>
    <t>Status</t>
  </si>
  <si>
    <t xml:space="preserve">Criterion weight </t>
  </si>
  <si>
    <t>lambda max</t>
  </si>
  <si>
    <t>n</t>
  </si>
  <si>
    <t>CI</t>
  </si>
  <si>
    <t>RI</t>
  </si>
  <si>
    <t>Matrix size n</t>
  </si>
  <si>
    <t>Random Index RI</t>
  </si>
  <si>
    <t xml:space="preserve">weighted sum </t>
  </si>
  <si>
    <t>(Feasible from both an technical and tenant perspective)</t>
  </si>
  <si>
    <t>Criterion</t>
  </si>
  <si>
    <t>Importance</t>
  </si>
  <si>
    <t>Very high</t>
  </si>
  <si>
    <t>Low</t>
  </si>
  <si>
    <t>Medium to high</t>
  </si>
  <si>
    <t>High</t>
  </si>
  <si>
    <t xml:space="preserve">Medium  </t>
  </si>
  <si>
    <t>Medium</t>
  </si>
  <si>
    <t xml:space="preserve">Practical implementability </t>
  </si>
  <si>
    <t>Practical implementability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</si>
</sst>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trike/>
      <sz val="11"/>
      <color theme="0" tint="-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2" fontId="0" fillId="0" borderId="0" xfId="0" applyNumberFormat="1"/>
    <xf numFmtId="2" fontId="2" fillId="0" borderId="0" xfId="0" applyNumberFormat="1" applyFont="1"/>
    <xf numFmtId="0" fontId="0" fillId="0" borderId="1" xfId="0" applyBorder="1"/>
    <xf numFmtId="164" fontId="0" fillId="0" borderId="0" xfId="1" applyNumberFormat="1" applyFont="1"/>
    <xf numFmtId="0" fontId="4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2" fontId="4" fillId="0" borderId="0" xfId="0" applyNumberFormat="1" applyFont="1"/>
    <xf numFmtId="2" fontId="4" fillId="0" borderId="5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8" xfId="0" applyFont="1" applyBorder="1"/>
    <xf numFmtId="10" fontId="0" fillId="0" borderId="5" xfId="1" applyNumberFormat="1" applyFont="1" applyBorder="1"/>
    <xf numFmtId="10" fontId="0" fillId="0" borderId="8" xfId="1" applyNumberFormat="1" applyFont="1" applyBorder="1"/>
    <xf numFmtId="0" fontId="1" fillId="0" borderId="9" xfId="0" applyFont="1" applyBorder="1"/>
    <xf numFmtId="0" fontId="0" fillId="0" borderId="9" xfId="0" applyBorder="1"/>
    <xf numFmtId="0" fontId="7" fillId="0" borderId="9" xfId="0" applyFont="1" applyBorder="1"/>
    <xf numFmtId="0" fontId="6" fillId="0" borderId="9" xfId="0" applyFont="1" applyBorder="1"/>
    <xf numFmtId="0" fontId="8" fillId="0" borderId="6" xfId="0" applyFont="1" applyBorder="1"/>
    <xf numFmtId="0" fontId="8" fillId="0" borderId="3" xfId="0" applyFont="1" applyBorder="1"/>
    <xf numFmtId="0" fontId="9" fillId="0" borderId="2" xfId="0" applyFont="1" applyBorder="1"/>
    <xf numFmtId="0" fontId="9" fillId="0" borderId="4" xfId="0" applyFont="1" applyBorder="1"/>
    <xf numFmtId="0" fontId="10" fillId="0" borderId="9" xfId="0" applyFont="1" applyBorder="1"/>
    <xf numFmtId="0" fontId="11" fillId="0" borderId="6" xfId="0" applyFont="1" applyBorder="1"/>
    <xf numFmtId="0" fontId="12" fillId="0" borderId="2" xfId="0" applyFont="1" applyBorder="1"/>
    <xf numFmtId="0" fontId="0" fillId="0" borderId="0" xfId="0" applyAlignment="1">
      <alignment wrapText="1"/>
    </xf>
    <xf numFmtId="0" fontId="10" fillId="0" borderId="4" xfId="0" applyFont="1" applyBorder="1"/>
    <xf numFmtId="12" fontId="0" fillId="0" borderId="0" xfId="0" applyNumberFormat="1"/>
    <xf numFmtId="12" fontId="0" fillId="2" borderId="0" xfId="0" applyNumberFormat="1" applyFill="1"/>
    <xf numFmtId="12" fontId="0" fillId="2" borderId="5" xfId="0" applyNumberFormat="1" applyFill="1" applyBorder="1"/>
    <xf numFmtId="12" fontId="0" fillId="0" borderId="7" xfId="0" applyNumberFormat="1" applyBorder="1"/>
    <xf numFmtId="12" fontId="0" fillId="0" borderId="8" xfId="0" applyNumberForma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Criterion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Sheet1!$K$19:$K$25</c:f>
              <c:strCache>
                <c:ptCount val="7"/>
                <c:pt idx="0">
                  <c:v>Energy performance</c:v>
                </c:pt>
                <c:pt idx="1">
                  <c:v>Water use</c:v>
                </c:pt>
                <c:pt idx="2">
                  <c:v>Climate impact</c:v>
                </c:pt>
                <c:pt idx="3">
                  <c:v>Economic performance</c:v>
                </c:pt>
                <c:pt idx="4">
                  <c:v>IEQ</c:v>
                </c:pt>
                <c:pt idx="5">
                  <c:v>Energy system integration </c:v>
                </c:pt>
                <c:pt idx="6">
                  <c:v>Practical implementability</c:v>
                </c:pt>
              </c:strCache>
            </c:strRef>
          </c:cat>
          <c:val>
            <c:numRef>
              <c:f>Sheet1!$L$19:$L$25</c:f>
              <c:numCache>
                <c:formatCode>0.00%</c:formatCode>
                <c:ptCount val="7"/>
                <c:pt idx="0">
                  <c:v>0.19216046447211785</c:v>
                </c:pt>
                <c:pt idx="1">
                  <c:v>2.0334305731786153E-2</c:v>
                </c:pt>
                <c:pt idx="2">
                  <c:v>7.8616476016089218E-2</c:v>
                </c:pt>
                <c:pt idx="3">
                  <c:v>0.20826837724652661</c:v>
                </c:pt>
                <c:pt idx="4">
                  <c:v>0.31575650120340437</c:v>
                </c:pt>
                <c:pt idx="5">
                  <c:v>5.9045457700027226E-2</c:v>
                </c:pt>
                <c:pt idx="6">
                  <c:v>0.12581841763004858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5-4301-BC00-B114B6032A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9480832"/>
        <c:axId val="1191334864"/>
      </c:barChart>
      <c:catAx>
        <c:axId val="119948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1334864"/>
        <c:crosses val="autoZero"/>
        <c:auto val="1"/>
        <c:lblAlgn val="ctr"/>
        <c:lblOffset val="100"/>
        <c:noMultiLvlLbl val="0"/>
      </c:catAx>
      <c:valAx>
        <c:axId val="11913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948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186417</xdr:rowOff>
    </xdr:from>
    <xdr:to>
      <xdr:col>9</xdr:col>
      <xdr:colOff>408213</xdr:colOff>
      <xdr:row>40</xdr:row>
      <xdr:rowOff>138793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82C2C8-7F08-7CA3-F74F-16CA249FE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D9D7-077E-46DC-A35E-B1B2363DC1FA}">
  <dimension ref="A5:M42"/>
  <sheetViews>
    <sheetView tabSelected="1" topLeftCell="A13" zoomScaleNormal="100" workbookViewId="0">
      <selection activeCell="A14" sqref="A14"/>
    </sheetView>
  </sheetViews>
  <sheetFormatPr defaultRowHeight="15" x14ac:dyDescent="0.25"/>
  <cols>
    <col min="1" max="1" width="47.42578125" bestFit="1" customWidth="1"/>
    <col min="2" max="2" width="19.5703125" bestFit="1" customWidth="1"/>
    <col min="3" max="3" width="10.28515625" bestFit="1" customWidth="1"/>
    <col min="4" max="4" width="15" bestFit="1" customWidth="1"/>
    <col min="5" max="5" width="22.42578125" bestFit="1" customWidth="1"/>
    <col min="6" max="6" width="5.5703125" bestFit="1" customWidth="1"/>
    <col min="7" max="7" width="25.42578125" bestFit="1" customWidth="1"/>
    <col min="8" max="8" width="19.42578125" bestFit="1" customWidth="1"/>
    <col min="9" max="9" width="13.28515625" bestFit="1" customWidth="1"/>
    <col min="11" max="11" width="25.28515625" bestFit="1" customWidth="1"/>
    <col min="12" max="12" width="16.42578125" bestFit="1" customWidth="1"/>
  </cols>
  <sheetData>
    <row r="5" spans="1:13" x14ac:dyDescent="0.25">
      <c r="A5" s="1" t="s">
        <v>0</v>
      </c>
      <c r="B5" s="2"/>
      <c r="C5" s="2"/>
      <c r="D5" s="2"/>
      <c r="F5" s="3"/>
    </row>
    <row r="6" spans="1:13" x14ac:dyDescent="0.25">
      <c r="A6" s="49" t="s">
        <v>1</v>
      </c>
      <c r="B6" s="49"/>
      <c r="C6" s="49"/>
      <c r="D6" s="49"/>
      <c r="E6" s="49"/>
      <c r="F6" s="49"/>
      <c r="G6" s="50"/>
      <c r="H6" s="49"/>
      <c r="I6" s="49"/>
      <c r="K6" t="s">
        <v>2</v>
      </c>
    </row>
    <row r="7" spans="1:13" ht="15" customHeight="1" x14ac:dyDescent="0.25">
      <c r="A7" s="4"/>
      <c r="B7" s="5" t="s">
        <v>3</v>
      </c>
      <c r="C7" s="5" t="s">
        <v>4</v>
      </c>
      <c r="D7" s="5" t="s">
        <v>5</v>
      </c>
      <c r="E7" s="5" t="s">
        <v>6</v>
      </c>
      <c r="F7" s="6" t="s">
        <v>7</v>
      </c>
      <c r="G7" s="41" t="s">
        <v>8</v>
      </c>
      <c r="H7" s="37" t="s">
        <v>32</v>
      </c>
      <c r="I7" s="36" t="s">
        <v>10</v>
      </c>
      <c r="K7" s="51" t="s">
        <v>11</v>
      </c>
      <c r="L7" s="51"/>
      <c r="M7" s="42"/>
    </row>
    <row r="8" spans="1:13" x14ac:dyDescent="0.25">
      <c r="A8" s="8" t="s">
        <v>3</v>
      </c>
      <c r="B8" s="44" cm="1">
        <f t="array" ref="B8">IF(ROW()-ROW($B$8)=COLUMN()-COLUMN($B$8),1,IF(ROW()-ROW($B$8)&gt;COLUMN()-COLUMN($B$8),IFERROR(1/INDEX($B$8:$I$15,COLUMN()-COLUMN($B$8)+1,ROW()-ROW($B$8)+1),""),""))</f>
        <v>1</v>
      </c>
      <c r="C8" s="45">
        <v>9</v>
      </c>
      <c r="D8" s="45">
        <v>3</v>
      </c>
      <c r="E8" s="45">
        <v>1</v>
      </c>
      <c r="F8" s="45">
        <v>0.33333333333333331</v>
      </c>
      <c r="G8" s="45">
        <v>5</v>
      </c>
      <c r="H8" s="45">
        <v>2</v>
      </c>
      <c r="I8" s="46"/>
      <c r="K8" s="51"/>
      <c r="L8" s="51"/>
      <c r="M8" s="42"/>
    </row>
    <row r="9" spans="1:13" x14ac:dyDescent="0.25">
      <c r="A9" s="8" t="s">
        <v>4</v>
      </c>
      <c r="B9" s="44" cm="1">
        <f t="array" ref="B9">IF(ROW()-ROW($B$8)=COLUMN()-COLUMN($B$8),1,IF(ROW()-ROW($B$8)&gt;COLUMN()-COLUMN($B$8),IFERROR(1/INDEX($B$8:$I$15,COLUMN()-COLUMN($B$8)+1,ROW()-ROW($B$8)+1),""),""))</f>
        <v>0.1111111111111111</v>
      </c>
      <c r="C9" s="44" cm="1">
        <f t="array" ref="C9">IF(ROW()-ROW($B$8)=COLUMN()-COLUMN($B$8),1,IF(ROW()-ROW($B$8)&gt;COLUMN()-COLUMN($B$8),IFERROR(1/INDEX($B$8:$I$15,COLUMN()-COLUMN($B$8)+1,ROW()-ROW($B$8)+1),""),""))</f>
        <v>1</v>
      </c>
      <c r="D9" s="45">
        <v>0.2</v>
      </c>
      <c r="E9" s="45">
        <v>0.1111111111111111</v>
      </c>
      <c r="F9" s="45">
        <v>0.1111111111111111</v>
      </c>
      <c r="G9" s="45">
        <v>0.2</v>
      </c>
      <c r="H9" s="45">
        <v>0.2</v>
      </c>
      <c r="I9" s="46"/>
      <c r="K9" s="51"/>
      <c r="L9" s="51"/>
      <c r="M9" s="42"/>
    </row>
    <row r="10" spans="1:13" x14ac:dyDescent="0.25">
      <c r="A10" s="8" t="s">
        <v>5</v>
      </c>
      <c r="B10" s="44" cm="1">
        <f t="array" ref="B10">IF(ROW()-ROW($B$8)=COLUMN()-COLUMN($B$8),1,IF(ROW()-ROW($B$8)&gt;COLUMN()-COLUMN($B$8),IFERROR(1/INDEX($B$8:$I$15,COLUMN()-COLUMN($B$8)+1,ROW()-ROW($B$8)+1),""),""))</f>
        <v>0.33333333333333331</v>
      </c>
      <c r="C10" s="44" cm="1">
        <f t="array" ref="C10">IF(ROW()-ROW($B$8)=COLUMN()-COLUMN($B$8),1,IF(ROW()-ROW($B$8)&gt;COLUMN()-COLUMN($B$8),IFERROR(1/INDEX($B$8:$I$15,COLUMN()-COLUMN($B$8)+1,ROW()-ROW($B$8)+1),""),""))</f>
        <v>5</v>
      </c>
      <c r="D10" s="44" cm="1">
        <f t="array" ref="D10">IF(ROW()-ROW($B$8)=COLUMN()-COLUMN($B$8),1,IF(ROW()-ROW($B$8)&gt;COLUMN()-COLUMN($B$8),IFERROR(1/INDEX($B$8:$I$15,COLUMN()-COLUMN($B$8)+1,ROW()-ROW($B$8)+1),""),""))</f>
        <v>1</v>
      </c>
      <c r="E10" s="45">
        <v>0.33333333333333331</v>
      </c>
      <c r="F10" s="45">
        <v>0.5</v>
      </c>
      <c r="G10" s="45">
        <v>1</v>
      </c>
      <c r="H10" s="45">
        <v>0.33333333333333331</v>
      </c>
      <c r="I10" s="46"/>
    </row>
    <row r="11" spans="1:13" x14ac:dyDescent="0.25">
      <c r="A11" s="8" t="s">
        <v>6</v>
      </c>
      <c r="B11" s="44" cm="1">
        <f t="array" ref="B11">IF(ROW()-ROW($B$8)=COLUMN()-COLUMN($B$8),1,IF(ROW()-ROW($B$8)&gt;COLUMN()-COLUMN($B$8),IFERROR(1/INDEX($B$8:$I$15,COLUMN()-COLUMN($B$8)+1,ROW()-ROW($B$8)+1),""),""))</f>
        <v>1</v>
      </c>
      <c r="C11" s="44" cm="1">
        <f t="array" ref="C11">IF(ROW()-ROW($B$8)=COLUMN()-COLUMN($B$8),1,IF(ROW()-ROW($B$8)&gt;COLUMN()-COLUMN($B$8),IFERROR(1/INDEX($B$8:$I$15,COLUMN()-COLUMN($B$8)+1,ROW()-ROW($B$8)+1),""),""))</f>
        <v>9</v>
      </c>
      <c r="D11" s="44" cm="1">
        <f t="array" ref="D11">IF(ROW()-ROW($B$8)=COLUMN()-COLUMN($B$8),1,IF(ROW()-ROW($B$8)&gt;COLUMN()-COLUMN($B$8),IFERROR(1/INDEX($B$8:$I$15,COLUMN()-COLUMN($B$8)+1,ROW()-ROW($B$8)+1),""),""))</f>
        <v>3</v>
      </c>
      <c r="E11" s="44" cm="1">
        <f t="array" ref="E11">IF(ROW()-ROW($B$8)=COLUMN()-COLUMN($B$8),1,IF(ROW()-ROW($B$8)&gt;COLUMN()-COLUMN($B$8),IFERROR(1/INDEX($B$8:$I$15,COLUMN()-COLUMN($B$8)+1,ROW()-ROW($B$8)+1),""),""))</f>
        <v>1</v>
      </c>
      <c r="F11" s="45">
        <v>1</v>
      </c>
      <c r="G11" s="45">
        <v>5</v>
      </c>
      <c r="H11" s="45">
        <v>1</v>
      </c>
      <c r="I11" s="46"/>
      <c r="K11" s="1" t="s">
        <v>12</v>
      </c>
      <c r="L11" s="1" t="s">
        <v>13</v>
      </c>
    </row>
    <row r="12" spans="1:13" x14ac:dyDescent="0.25">
      <c r="A12" s="8" t="s">
        <v>7</v>
      </c>
      <c r="B12" s="44" cm="1">
        <f t="array" ref="B12">IF(ROW()-ROW($B$8)=COLUMN()-COLUMN($B$8),1,IF(ROW()-ROW($B$8)&gt;COLUMN()-COLUMN($B$8),IFERROR(1/INDEX($B$8:$I$15,COLUMN()-COLUMN($B$8)+1,ROW()-ROW($B$8)+1),""),""))</f>
        <v>3</v>
      </c>
      <c r="C12" s="44" cm="1">
        <f t="array" ref="C12">IF(ROW()-ROW($B$8)=COLUMN()-COLUMN($B$8),1,IF(ROW()-ROW($B$8)&gt;COLUMN()-COLUMN($B$8),IFERROR(1/INDEX($B$8:$I$15,COLUMN()-COLUMN($B$8)+1,ROW()-ROW($B$8)+1),""),""))</f>
        <v>9</v>
      </c>
      <c r="D12" s="44" cm="1">
        <f t="array" ref="D12">IF(ROW()-ROW($B$8)=COLUMN()-COLUMN($B$8),1,IF(ROW()-ROW($B$8)&gt;COLUMN()-COLUMN($B$8),IFERROR(1/INDEX($B$8:$I$15,COLUMN()-COLUMN($B$8)+1,ROW()-ROW($B$8)+1),""),""))</f>
        <v>2</v>
      </c>
      <c r="E12" s="44" cm="1">
        <f t="array" ref="E12">IF(ROW()-ROW($B$8)=COLUMN()-COLUMN($B$8),1,IF(ROW()-ROW($B$8)&gt;COLUMN()-COLUMN($B$8),IFERROR(1/INDEX($B$8:$I$15,COLUMN()-COLUMN($B$8)+1,ROW()-ROW($B$8)+1),""),""))</f>
        <v>1</v>
      </c>
      <c r="F12" s="44" cm="1">
        <f t="array" ref="F12">IF(ROW()-ROW($B$8)=COLUMN()-COLUMN($B$8),1,IF(ROW()-ROW($B$8)&gt;COLUMN()-COLUMN($B$8),IFERROR(1/INDEX($B$8:$I$15,COLUMN()-COLUMN($B$8)+1,ROW()-ROW($B$8)+1),""),""))</f>
        <v>1</v>
      </c>
      <c r="G12" s="45">
        <v>6</v>
      </c>
      <c r="H12" s="45">
        <v>6</v>
      </c>
      <c r="I12" s="46"/>
      <c r="K12" s="12">
        <f>G30</f>
        <v>6.8864983899623061E-2</v>
      </c>
      <c r="L12" t="str">
        <f>IF(G30&lt;=0.1,"Acceptable","Revise judgments")</f>
        <v>Acceptable</v>
      </c>
    </row>
    <row r="13" spans="1:13" x14ac:dyDescent="0.25">
      <c r="A13" s="8" t="s">
        <v>8</v>
      </c>
      <c r="B13" s="44" cm="1">
        <f t="array" ref="B13">IF(ROW()-ROW($B$8)=COLUMN()-COLUMN($B$8),1,IF(ROW()-ROW($B$8)&gt;COLUMN()-COLUMN($B$8),IFERROR(1/INDEX($B$8:$I$15,COLUMN()-COLUMN($B$8)+1,ROW()-ROW($B$8)+1),""),""))</f>
        <v>0.2</v>
      </c>
      <c r="C13" s="44" cm="1">
        <f t="array" ref="C13">IF(ROW()-ROW($B$8)=COLUMN()-COLUMN($B$8),1,IF(ROW()-ROW($B$8)&gt;COLUMN()-COLUMN($B$8),IFERROR(1/INDEX($B$8:$I$15,COLUMN()-COLUMN($B$8)+1,ROW()-ROW($B$8)+1),""),""))</f>
        <v>5</v>
      </c>
      <c r="D13" s="44" cm="1">
        <f t="array" ref="D13">IF(ROW()-ROW($B$8)=COLUMN()-COLUMN($B$8),1,IF(ROW()-ROW($B$8)&gt;COLUMN()-COLUMN($B$8),IFERROR(1/INDEX($B$8:$I$15,COLUMN()-COLUMN($B$8)+1,ROW()-ROW($B$8)+1),""),""))</f>
        <v>1</v>
      </c>
      <c r="E13" s="44" cm="1">
        <f t="array" ref="E13">IF(ROW()-ROW($B$8)=COLUMN()-COLUMN($B$8),1,IF(ROW()-ROW($B$8)&gt;COLUMN()-COLUMN($B$8),IFERROR(1/INDEX($B$8:$I$15,COLUMN()-COLUMN($B$8)+1,ROW()-ROW($B$8)+1),""),""))</f>
        <v>0.2</v>
      </c>
      <c r="F13" s="44" cm="1">
        <f t="array" ref="F13">IF(ROW()-ROW($B$8)=COLUMN()-COLUMN($B$8),1,IF(ROW()-ROW($B$8)&gt;COLUMN()-COLUMN($B$8),IFERROR(1/INDEX($B$8:$I$15,COLUMN()-COLUMN($B$8)+1,ROW()-ROW($B$8)+1),""),""))</f>
        <v>0.16666666666666666</v>
      </c>
      <c r="G13" s="44" cm="1">
        <f t="array" ref="G13">IF(ROW()-ROW($B$8)=COLUMN()-COLUMN($B$8),1,IF(ROW()-ROW($B$8)&gt;COLUMN()-COLUMN($B$8),IFERROR(1/INDEX($B$8:$I$15,COLUMN()-COLUMN($B$8)+1,ROW()-ROW($B$8)+1),""),""))</f>
        <v>1</v>
      </c>
      <c r="H13" s="45">
        <v>0.5</v>
      </c>
      <c r="I13" s="46"/>
    </row>
    <row r="14" spans="1:13" x14ac:dyDescent="0.25">
      <c r="A14" s="38" t="s">
        <v>32</v>
      </c>
      <c r="B14" s="44" cm="1">
        <f t="array" ref="B14">IF(ROW()-ROW($B$8)=COLUMN()-COLUMN($B$8),1,IF(ROW()-ROW($B$8)&gt;COLUMN()-COLUMN($B$8),IFERROR(1/INDEX($B$8:$I$15,COLUMN()-COLUMN($B$8)+1,ROW()-ROW($B$8)+1),""),""))</f>
        <v>0.5</v>
      </c>
      <c r="C14" s="44" cm="1">
        <f t="array" ref="C14">IF(ROW()-ROW($B$8)=COLUMN()-COLUMN($B$8),1,IF(ROW()-ROW($B$8)&gt;COLUMN()-COLUMN($B$8),IFERROR(1/INDEX($B$8:$I$15,COLUMN()-COLUMN($B$8)+1,ROW()-ROW($B$8)+1),""),""))</f>
        <v>5</v>
      </c>
      <c r="D14" s="44" cm="1">
        <f t="array" ref="D14">IF(ROW()-ROW($B$8)=COLUMN()-COLUMN($B$8),1,IF(ROW()-ROW($B$8)&gt;COLUMN()-COLUMN($B$8),IFERROR(1/INDEX($B$8:$I$15,COLUMN()-COLUMN($B$8)+1,ROW()-ROW($B$8)+1),""),""))</f>
        <v>3</v>
      </c>
      <c r="E14" s="44" cm="1">
        <f t="array" ref="E14">IF(ROW()-ROW($B$8)=COLUMN()-COLUMN($B$8),1,IF(ROW()-ROW($B$8)&gt;COLUMN()-COLUMN($B$8),IFERROR(1/INDEX($B$8:$I$15,COLUMN()-COLUMN($B$8)+1,ROW()-ROW($B$8)+1),""),""))</f>
        <v>1</v>
      </c>
      <c r="F14" s="44" cm="1">
        <f t="array" ref="F14">IF(ROW()-ROW($B$8)=COLUMN()-COLUMN($B$8),1,IF(ROW()-ROW($B$8)&gt;COLUMN()-COLUMN($B$8),IFERROR(1/INDEX($B$8:$I$15,COLUMN()-COLUMN($B$8)+1,ROW()-ROW($B$8)+1),""),""))</f>
        <v>0.16666666666666666</v>
      </c>
      <c r="G14" s="44" cm="1">
        <f t="array" ref="G14">IF(ROW()-ROW($B$8)=COLUMN()-COLUMN($B$8),1,IF(ROW()-ROW($B$8)&gt;COLUMN()-COLUMN($B$8),IFERROR(1/INDEX($B$8:$I$15,COLUMN()-COLUMN($B$8)+1,ROW()-ROW($B$8)+1),""),""))</f>
        <v>2</v>
      </c>
      <c r="H14" s="44" cm="1">
        <f t="array" ref="H14">IF(ROW()-ROW($B$8)=COLUMN()-COLUMN($B$8),1,IF(ROW()-ROW($B$8)&gt;COLUMN()-COLUMN($B$8),IFERROR(1/INDEX($B$8:$I$15,COLUMN()-COLUMN($B$8)+1,ROW()-ROW($B$8)+1),""),""))</f>
        <v>1</v>
      </c>
      <c r="I14" s="46"/>
    </row>
    <row r="15" spans="1:13" x14ac:dyDescent="0.25">
      <c r="A15" s="35" t="s">
        <v>10</v>
      </c>
      <c r="B15" s="47" t="str" cm="1">
        <f t="array" ref="B15">IF(ROW()-ROW($B$8)=COLUMN()-COLUMN($B$8),1,IF(ROW()-ROW($B$8)&gt;COLUMN()-COLUMN($B$8),IFERROR(1/INDEX($B$8:$I$15,COLUMN()-COLUMN($B$8)+1,ROW()-ROW($B$8)+1),""),""))</f>
        <v/>
      </c>
      <c r="C15" s="47" t="str" cm="1">
        <f t="array" ref="C15">IF(ROW()-ROW($B$8)=COLUMN()-COLUMN($B$8),1,IF(ROW()-ROW($B$8)&gt;COLUMN()-COLUMN($B$8),IFERROR(1/INDEX($B$8:$I$15,COLUMN()-COLUMN($B$8)+1,ROW()-ROW($B$8)+1),""),""))</f>
        <v/>
      </c>
      <c r="D15" s="47" t="str" cm="1">
        <f t="array" ref="D15">IF(ROW()-ROW($B$8)=COLUMN()-COLUMN($B$8),1,IF(ROW()-ROW($B$8)&gt;COLUMN()-COLUMN($B$8),IFERROR(1/INDEX($B$8:$I$15,COLUMN()-COLUMN($B$8)+1,ROW()-ROW($B$8)+1),""),""))</f>
        <v/>
      </c>
      <c r="E15" s="47" t="str" cm="1">
        <f t="array" ref="E15">IF(ROW()-ROW($B$8)=COLUMN()-COLUMN($B$8),1,IF(ROW()-ROW($B$8)&gt;COLUMN()-COLUMN($B$8),IFERROR(1/INDEX($B$8:$I$15,COLUMN()-COLUMN($B$8)+1,ROW()-ROW($B$8)+1),""),""))</f>
        <v/>
      </c>
      <c r="F15" s="47" t="str" cm="1">
        <f t="array" ref="F15">IF(ROW()-ROW($B$8)=COLUMN()-COLUMN($B$8),1,IF(ROW()-ROW($B$8)&gt;COLUMN()-COLUMN($B$8),IFERROR(1/INDEX($B$8:$I$15,COLUMN()-COLUMN($B$8)+1,ROW()-ROW($B$8)+1),""),""))</f>
        <v/>
      </c>
      <c r="G15" s="47" t="str" cm="1">
        <f t="array" ref="G15">IF(ROW()-ROW($B$8)=COLUMN()-COLUMN($B$8),1,IF(ROW()-ROW($B$8)&gt;COLUMN()-COLUMN($B$8),IFERROR(1/INDEX($B$8:$I$15,COLUMN()-COLUMN($B$8)+1,ROW()-ROW($B$8)+1),""),""))</f>
        <v/>
      </c>
      <c r="H15" s="47" t="str" cm="1">
        <f t="array" ref="H15">IF(ROW()-ROW($B$8)=COLUMN()-COLUMN($B$8),1,IF(ROW()-ROW($B$8)&gt;COLUMN()-COLUMN($B$8),IFERROR(1/INDEX($B$8:$I$15,COLUMN()-COLUMN($B$8)+1,ROW()-ROW($B$8)+1),""),""))</f>
        <v/>
      </c>
      <c r="I15" s="48" cm="1">
        <f t="array" ref="I15">IF(ROW()-ROW($B$8)=COLUMN()-COLUMN($B$8),1,IF(ROW()-ROW($B$8)&gt;COLUMN()-COLUMN($B$8),IFERROR(1/INDEX($B$8:$I$15,COLUMN()-COLUMN($B$8)+1,ROW()-ROW($B$8)+1),""),""))</f>
        <v>1</v>
      </c>
    </row>
    <row r="16" spans="1:13" x14ac:dyDescent="0.25">
      <c r="B16" s="18">
        <f t="shared" ref="B16:G16" si="0">SUM(B8:B14)</f>
        <v>6.1444444444444448</v>
      </c>
      <c r="C16" s="18">
        <f t="shared" si="0"/>
        <v>43</v>
      </c>
      <c r="D16" s="18">
        <f t="shared" si="0"/>
        <v>13.2</v>
      </c>
      <c r="E16" s="18">
        <f t="shared" si="0"/>
        <v>4.6444444444444448</v>
      </c>
      <c r="F16" s="18">
        <f t="shared" si="0"/>
        <v>3.2777777777777777</v>
      </c>
      <c r="G16" s="18">
        <f t="shared" si="0"/>
        <v>20.2</v>
      </c>
      <c r="H16" s="18">
        <f>SUM(H8:H14)</f>
        <v>11.033333333333333</v>
      </c>
      <c r="I16" s="18">
        <f t="shared" ref="I16" si="1">SUM(I8:I15)</f>
        <v>1</v>
      </c>
    </row>
    <row r="18" spans="1:12" x14ac:dyDescent="0.25">
      <c r="A18" s="13"/>
      <c r="B18" s="14" t="s">
        <v>3</v>
      </c>
      <c r="C18" s="14" t="s">
        <v>4</v>
      </c>
      <c r="D18" s="14" t="s">
        <v>5</v>
      </c>
      <c r="E18" s="14" t="s">
        <v>6</v>
      </c>
      <c r="F18" s="15" t="s">
        <v>7</v>
      </c>
      <c r="G18" s="14" t="s">
        <v>8</v>
      </c>
      <c r="H18" s="14" t="s">
        <v>9</v>
      </c>
      <c r="I18" s="16" t="s">
        <v>10</v>
      </c>
      <c r="K18" s="11"/>
      <c r="L18" s="7" t="s">
        <v>14</v>
      </c>
    </row>
    <row r="19" spans="1:12" x14ac:dyDescent="0.25">
      <c r="A19" s="17" t="s">
        <v>3</v>
      </c>
      <c r="B19" s="18">
        <f>B8/B$16</f>
        <v>0.16274864376130199</v>
      </c>
      <c r="C19" s="18">
        <f>C8/C$16</f>
        <v>0.20930232558139536</v>
      </c>
      <c r="D19" s="18">
        <f t="shared" ref="D19:I19" si="2">D8/D$16</f>
        <v>0.22727272727272729</v>
      </c>
      <c r="E19" s="18">
        <f t="shared" si="2"/>
        <v>0.21531100478468898</v>
      </c>
      <c r="F19" s="18">
        <f t="shared" si="2"/>
        <v>0.10169491525423728</v>
      </c>
      <c r="G19" s="18">
        <f t="shared" si="2"/>
        <v>0.24752475247524752</v>
      </c>
      <c r="H19" s="18">
        <f t="shared" si="2"/>
        <v>0.18126888217522658</v>
      </c>
      <c r="I19" s="19">
        <f t="shared" si="2"/>
        <v>0</v>
      </c>
      <c r="K19" s="8" t="s">
        <v>3</v>
      </c>
      <c r="L19" s="29">
        <f>AVERAGE(B19:H19)</f>
        <v>0.19216046447211785</v>
      </c>
    </row>
    <row r="20" spans="1:12" x14ac:dyDescent="0.25">
      <c r="A20" s="17" t="s">
        <v>4</v>
      </c>
      <c r="B20" s="18">
        <f t="shared" ref="B20:C26" si="3">B9/B$16</f>
        <v>1.8083182640144663E-2</v>
      </c>
      <c r="C20" s="18">
        <f t="shared" si="3"/>
        <v>2.3255813953488372E-2</v>
      </c>
      <c r="D20" s="18">
        <f t="shared" ref="D20:I20" si="4">D9/D$16</f>
        <v>1.5151515151515154E-2</v>
      </c>
      <c r="E20" s="18">
        <f t="shared" si="4"/>
        <v>2.3923444976076551E-2</v>
      </c>
      <c r="F20" s="18">
        <f t="shared" si="4"/>
        <v>3.3898305084745763E-2</v>
      </c>
      <c r="G20" s="18">
        <f t="shared" si="4"/>
        <v>9.9009900990099011E-3</v>
      </c>
      <c r="H20" s="18">
        <f t="shared" si="4"/>
        <v>1.812688821752266E-2</v>
      </c>
      <c r="I20" s="19">
        <f t="shared" si="4"/>
        <v>0</v>
      </c>
      <c r="K20" s="8" t="s">
        <v>4</v>
      </c>
      <c r="L20" s="29">
        <f t="shared" ref="L20:L25" si="5">AVERAGE(B20:H20)</f>
        <v>2.0334305731786153E-2</v>
      </c>
    </row>
    <row r="21" spans="1:12" x14ac:dyDescent="0.25">
      <c r="A21" s="17" t="s">
        <v>5</v>
      </c>
      <c r="B21" s="18">
        <f t="shared" si="3"/>
        <v>5.4249547920433988E-2</v>
      </c>
      <c r="C21" s="18">
        <f t="shared" si="3"/>
        <v>0.11627906976744186</v>
      </c>
      <c r="D21" s="18">
        <f t="shared" ref="D21:I21" si="6">D10/D$16</f>
        <v>7.575757575757576E-2</v>
      </c>
      <c r="E21" s="18">
        <f t="shared" si="6"/>
        <v>7.1770334928229651E-2</v>
      </c>
      <c r="F21" s="18">
        <f t="shared" si="6"/>
        <v>0.15254237288135594</v>
      </c>
      <c r="G21" s="18">
        <f t="shared" si="6"/>
        <v>4.9504950495049507E-2</v>
      </c>
      <c r="H21" s="18">
        <f t="shared" si="6"/>
        <v>3.0211480362537763E-2</v>
      </c>
      <c r="I21" s="19">
        <f t="shared" si="6"/>
        <v>0</v>
      </c>
      <c r="K21" s="8" t="s">
        <v>5</v>
      </c>
      <c r="L21" s="29">
        <f t="shared" si="5"/>
        <v>7.8616476016089218E-2</v>
      </c>
    </row>
    <row r="22" spans="1:12" x14ac:dyDescent="0.25">
      <c r="A22" s="17" t="s">
        <v>6</v>
      </c>
      <c r="B22" s="18">
        <f t="shared" si="3"/>
        <v>0.16274864376130199</v>
      </c>
      <c r="C22" s="18">
        <f t="shared" si="3"/>
        <v>0.20930232558139536</v>
      </c>
      <c r="D22" s="18">
        <f t="shared" ref="D22:I22" si="7">D11/D$16</f>
        <v>0.22727272727272729</v>
      </c>
      <c r="E22" s="18">
        <f t="shared" si="7"/>
        <v>0.21531100478468898</v>
      </c>
      <c r="F22" s="18">
        <f t="shared" si="7"/>
        <v>0.30508474576271188</v>
      </c>
      <c r="G22" s="18">
        <f t="shared" si="7"/>
        <v>0.24752475247524752</v>
      </c>
      <c r="H22" s="18">
        <f t="shared" si="7"/>
        <v>9.0634441087613288E-2</v>
      </c>
      <c r="I22" s="19">
        <f t="shared" si="7"/>
        <v>0</v>
      </c>
      <c r="K22" s="8" t="s">
        <v>6</v>
      </c>
      <c r="L22" s="29">
        <f t="shared" si="5"/>
        <v>0.20826837724652661</v>
      </c>
    </row>
    <row r="23" spans="1:12" x14ac:dyDescent="0.25">
      <c r="A23" s="17" t="s">
        <v>7</v>
      </c>
      <c r="B23" s="18">
        <f t="shared" si="3"/>
        <v>0.48824593128390592</v>
      </c>
      <c r="C23" s="18">
        <f t="shared" si="3"/>
        <v>0.20930232558139536</v>
      </c>
      <c r="D23" s="18">
        <f t="shared" ref="D23:I23" si="8">D12/D$16</f>
        <v>0.15151515151515152</v>
      </c>
      <c r="E23" s="18">
        <f t="shared" si="8"/>
        <v>0.21531100478468898</v>
      </c>
      <c r="F23" s="18">
        <f t="shared" si="8"/>
        <v>0.30508474576271188</v>
      </c>
      <c r="G23" s="18">
        <f t="shared" si="8"/>
        <v>0.29702970297029702</v>
      </c>
      <c r="H23" s="18">
        <f t="shared" si="8"/>
        <v>0.54380664652567978</v>
      </c>
      <c r="I23" s="19">
        <f t="shared" si="8"/>
        <v>0</v>
      </c>
      <c r="K23" s="8" t="s">
        <v>7</v>
      </c>
      <c r="L23" s="29">
        <f t="shared" si="5"/>
        <v>0.31575650120340437</v>
      </c>
    </row>
    <row r="24" spans="1:12" x14ac:dyDescent="0.25">
      <c r="A24" s="17" t="s">
        <v>8</v>
      </c>
      <c r="B24" s="18">
        <f t="shared" si="3"/>
        <v>3.25497287522604E-2</v>
      </c>
      <c r="C24" s="18">
        <f t="shared" si="3"/>
        <v>0.11627906976744186</v>
      </c>
      <c r="D24" s="18">
        <f t="shared" ref="D24:I24" si="9">D13/D$16</f>
        <v>7.575757575757576E-2</v>
      </c>
      <c r="E24" s="18">
        <f t="shared" si="9"/>
        <v>4.3062200956937795E-2</v>
      </c>
      <c r="F24" s="18">
        <f t="shared" si="9"/>
        <v>5.084745762711864E-2</v>
      </c>
      <c r="G24" s="18">
        <f t="shared" si="9"/>
        <v>4.9504950495049507E-2</v>
      </c>
      <c r="H24" s="18">
        <f t="shared" si="9"/>
        <v>4.5317220543806644E-2</v>
      </c>
      <c r="I24" s="19">
        <f t="shared" si="9"/>
        <v>0</v>
      </c>
      <c r="K24" s="43" t="s">
        <v>8</v>
      </c>
      <c r="L24" s="29">
        <f t="shared" si="5"/>
        <v>5.9045457700027226E-2</v>
      </c>
    </row>
    <row r="25" spans="1:12" x14ac:dyDescent="0.25">
      <c r="A25" s="17" t="s">
        <v>32</v>
      </c>
      <c r="B25" s="18">
        <f t="shared" si="3"/>
        <v>8.1374321880650996E-2</v>
      </c>
      <c r="C25" s="18">
        <f t="shared" si="3"/>
        <v>0.11627906976744186</v>
      </c>
      <c r="D25" s="18">
        <f t="shared" ref="D25:I25" si="10">D14/D$16</f>
        <v>0.22727272727272729</v>
      </c>
      <c r="E25" s="18">
        <f t="shared" si="10"/>
        <v>0.21531100478468898</v>
      </c>
      <c r="F25" s="18">
        <f t="shared" si="10"/>
        <v>5.084745762711864E-2</v>
      </c>
      <c r="G25" s="18">
        <f t="shared" si="10"/>
        <v>9.9009900990099015E-2</v>
      </c>
      <c r="H25" s="18">
        <f t="shared" si="10"/>
        <v>9.0634441087613288E-2</v>
      </c>
      <c r="I25" s="19">
        <f t="shared" si="10"/>
        <v>0</v>
      </c>
      <c r="K25" s="38" t="s">
        <v>32</v>
      </c>
      <c r="L25" s="29">
        <f t="shared" si="5"/>
        <v>0.12581841763004858</v>
      </c>
    </row>
    <row r="26" spans="1:12" x14ac:dyDescent="0.25">
      <c r="A26" s="40" t="s">
        <v>10</v>
      </c>
      <c r="B26" s="20" t="e">
        <f t="shared" si="3"/>
        <v>#VALUE!</v>
      </c>
      <c r="C26" s="20" t="e">
        <f t="shared" si="3"/>
        <v>#VALUE!</v>
      </c>
      <c r="D26" s="20" t="e">
        <f t="shared" ref="D26:I26" si="11">D15/D$16</f>
        <v>#VALUE!</v>
      </c>
      <c r="E26" s="20" t="e">
        <f t="shared" si="11"/>
        <v>#VALUE!</v>
      </c>
      <c r="F26" s="20" t="e">
        <f t="shared" si="11"/>
        <v>#VALUE!</v>
      </c>
      <c r="G26" s="20" t="e">
        <f t="shared" si="11"/>
        <v>#VALUE!</v>
      </c>
      <c r="H26" s="20" t="e">
        <f t="shared" si="11"/>
        <v>#VALUE!</v>
      </c>
      <c r="I26" s="21">
        <f t="shared" si="11"/>
        <v>1</v>
      </c>
      <c r="K26" s="35" t="s">
        <v>10</v>
      </c>
      <c r="L26" s="30" t="e">
        <f t="shared" ref="L26" si="12">AVERAGE(B26:I26)</f>
        <v>#VALUE!</v>
      </c>
    </row>
    <row r="27" spans="1:12" x14ac:dyDescent="0.25">
      <c r="A27" s="22"/>
      <c r="B27" s="18">
        <f>SUM(B19:B25)</f>
        <v>0.99999999999999989</v>
      </c>
      <c r="C27" s="18">
        <f>SUM(C19:C25)</f>
        <v>1</v>
      </c>
      <c r="D27" s="18">
        <f t="shared" ref="D27:I27" si="13">SUM(D19:D25)</f>
        <v>1</v>
      </c>
      <c r="E27" s="18">
        <f t="shared" si="13"/>
        <v>1</v>
      </c>
      <c r="F27" s="18">
        <f t="shared" si="13"/>
        <v>1</v>
      </c>
      <c r="G27" s="18">
        <f t="shared" si="13"/>
        <v>1.0000000000000002</v>
      </c>
      <c r="H27" s="18">
        <f t="shared" si="13"/>
        <v>1</v>
      </c>
      <c r="I27" s="18">
        <f t="shared" si="13"/>
        <v>0</v>
      </c>
      <c r="J27" s="10"/>
      <c r="L27" s="10">
        <f>SUM(L19:L25)</f>
        <v>1</v>
      </c>
    </row>
    <row r="28" spans="1:12" x14ac:dyDescent="0.25">
      <c r="B28" s="9"/>
    </row>
    <row r="29" spans="1:12" x14ac:dyDescent="0.25">
      <c r="A29" s="13"/>
      <c r="B29" s="24"/>
      <c r="C29" s="16" t="s">
        <v>15</v>
      </c>
      <c r="D29" s="23" t="s">
        <v>16</v>
      </c>
      <c r="E29" s="23" t="s">
        <v>17</v>
      </c>
      <c r="F29" s="23" t="s">
        <v>18</v>
      </c>
      <c r="G29" s="23" t="s">
        <v>12</v>
      </c>
      <c r="H29" s="23" t="s">
        <v>19</v>
      </c>
      <c r="I29" s="23" t="s">
        <v>20</v>
      </c>
      <c r="K29" s="31" t="s">
        <v>23</v>
      </c>
      <c r="L29" s="34" t="s">
        <v>24</v>
      </c>
    </row>
    <row r="30" spans="1:12" x14ac:dyDescent="0.25">
      <c r="A30" s="17" t="s">
        <v>21</v>
      </c>
      <c r="B30" s="18" cm="1">
        <f t="array" ref="B30">SUMPRODUCT($B8:$H8,TRANSPOSE($L$19:$L$25))</f>
        <v>1.4714033121810224</v>
      </c>
      <c r="C30" s="25">
        <f t="shared" ref="C30:C37" si="14">B30/L19</f>
        <v>7.6571594277891668</v>
      </c>
      <c r="D30" s="22">
        <f>ROWS(C30:C36)</f>
        <v>7</v>
      </c>
      <c r="E30" s="22">
        <f>(C38-D30)/(D30-1)</f>
        <v>9.0901778747502451E-2</v>
      </c>
      <c r="F30" s="22">
        <f>_xlfn.XLOOKUP(D30,$H$29:$H$39,$I$29:$I$39)</f>
        <v>1.32</v>
      </c>
      <c r="G30" s="22">
        <f>E30/F30</f>
        <v>6.8864983899623061E-2</v>
      </c>
      <c r="H30" s="22">
        <v>1</v>
      </c>
      <c r="I30" s="22">
        <v>0</v>
      </c>
      <c r="K30" s="32" t="s">
        <v>3</v>
      </c>
      <c r="L30" s="32" t="s">
        <v>25</v>
      </c>
    </row>
    <row r="31" spans="1:12" x14ac:dyDescent="0.25">
      <c r="A31" s="26"/>
      <c r="B31" s="18" cm="1">
        <f t="array" ref="B31">SUMPRODUCT($B9:$H9,TRANSPOSE($L$19:$L$25))</f>
        <v>0.15260652521458015</v>
      </c>
      <c r="C31" s="25">
        <f t="shared" si="14"/>
        <v>7.5048800400413418</v>
      </c>
      <c r="D31" s="22"/>
      <c r="E31" s="22"/>
      <c r="H31" s="22">
        <v>2</v>
      </c>
      <c r="I31" s="22">
        <v>0</v>
      </c>
      <c r="K31" s="32" t="s">
        <v>4</v>
      </c>
      <c r="L31" s="32" t="s">
        <v>26</v>
      </c>
    </row>
    <row r="32" spans="1:12" x14ac:dyDescent="0.25">
      <c r="A32" s="26"/>
      <c r="B32" s="18" cm="1">
        <f t="array" ref="B32">SUMPRODUCT($B10:$H10,TRANSPOSE($L$19:$L$25))</f>
        <v>0.57262746609298043</v>
      </c>
      <c r="C32" s="25">
        <f t="shared" si="14"/>
        <v>7.2838098972509222</v>
      </c>
      <c r="D32" s="22"/>
      <c r="E32" s="22"/>
      <c r="H32" s="22">
        <v>3</v>
      </c>
      <c r="I32" s="22">
        <v>0.57999999999999996</v>
      </c>
      <c r="K32" s="32" t="s">
        <v>5</v>
      </c>
      <c r="L32" s="32" t="s">
        <v>27</v>
      </c>
    </row>
    <row r="33" spans="1:13" x14ac:dyDescent="0.25">
      <c r="A33" s="26"/>
      <c r="B33" s="18" cm="1">
        <f t="array" ref="B33">SUMPRODUCT($B11:$H11,TRANSPOSE($L$19:$L$25))</f>
        <v>1.5560892286865766</v>
      </c>
      <c r="C33" s="25">
        <f t="shared" si="14"/>
        <v>7.4715578488645873</v>
      </c>
      <c r="D33" s="22"/>
      <c r="E33" s="22"/>
      <c r="H33" s="22">
        <v>4</v>
      </c>
      <c r="I33" s="22">
        <v>0.9</v>
      </c>
      <c r="K33" s="32" t="s">
        <v>6</v>
      </c>
      <c r="L33" s="32" t="s">
        <v>25</v>
      </c>
    </row>
    <row r="34" spans="1:13" x14ac:dyDescent="0.25">
      <c r="A34" s="26"/>
      <c r="B34" s="18" cm="1">
        <f t="array" ref="B34">SUMPRODUCT($B12:$H12,TRANSPOSE($L$19:$L$25))</f>
        <v>2.5499312274649935</v>
      </c>
      <c r="C34" s="25">
        <f t="shared" si="14"/>
        <v>8.0756254194189214</v>
      </c>
      <c r="D34" s="22"/>
      <c r="E34" s="22"/>
      <c r="H34" s="22">
        <v>5</v>
      </c>
      <c r="I34" s="22">
        <v>1.1200000000000001</v>
      </c>
      <c r="K34" s="32" t="s">
        <v>7</v>
      </c>
      <c r="L34" s="32" t="s">
        <v>28</v>
      </c>
    </row>
    <row r="35" spans="1:13" x14ac:dyDescent="0.25">
      <c r="A35" s="26"/>
      <c r="B35" s="18" cm="1">
        <f t="array" ref="B35">SUMPRODUCT($B13:$H13,TRANSPOSE($L$19:$L$25))</f>
        <v>0.4349545230677011</v>
      </c>
      <c r="C35" s="25">
        <f t="shared" si="14"/>
        <v>7.3664349470780808</v>
      </c>
      <c r="D35" s="22"/>
      <c r="E35" s="22"/>
      <c r="H35" s="22">
        <v>6</v>
      </c>
      <c r="I35" s="22">
        <v>1.24</v>
      </c>
      <c r="K35" s="39" t="s">
        <v>8</v>
      </c>
      <c r="L35" s="32" t="s">
        <v>29</v>
      </c>
    </row>
    <row r="36" spans="1:13" x14ac:dyDescent="0.25">
      <c r="A36" s="26"/>
      <c r="B36" s="18" cm="1">
        <f t="array" ref="B36">SUMPRODUCT($B14:$H14,TRANSPOSE($L$19:$L$25))</f>
        <v>0.9384049827537877</v>
      </c>
      <c r="C36" s="25">
        <f t="shared" si="14"/>
        <v>7.4584071269520811</v>
      </c>
      <c r="D36" s="22"/>
      <c r="E36" s="22"/>
      <c r="H36" s="22">
        <v>7</v>
      </c>
      <c r="I36" s="22">
        <v>1.32</v>
      </c>
      <c r="K36" s="38" t="s">
        <v>31</v>
      </c>
      <c r="L36" s="32" t="s">
        <v>28</v>
      </c>
      <c r="M36" t="s">
        <v>22</v>
      </c>
    </row>
    <row r="37" spans="1:13" x14ac:dyDescent="0.25">
      <c r="A37" s="27"/>
      <c r="B37" s="20" cm="1">
        <f t="array" ref="B37">SUMPRODUCT($B15:$H15,TRANSPOSE($L$19:$L$25))</f>
        <v>0</v>
      </c>
      <c r="C37" s="28" t="e">
        <f t="shared" si="14"/>
        <v>#VALUE!</v>
      </c>
      <c r="D37" s="22"/>
      <c r="E37" s="22"/>
      <c r="H37" s="22">
        <v>8</v>
      </c>
      <c r="I37" s="22">
        <v>1.41</v>
      </c>
      <c r="K37" s="33" t="s">
        <v>10</v>
      </c>
      <c r="L37" s="33" t="s">
        <v>30</v>
      </c>
    </row>
    <row r="38" spans="1:13" x14ac:dyDescent="0.25">
      <c r="A38" s="23"/>
      <c r="B38" s="22"/>
      <c r="C38" s="18">
        <f>AVERAGE(C30:C36)</f>
        <v>7.5454106724850147</v>
      </c>
      <c r="D38" s="22"/>
      <c r="E38" s="22"/>
      <c r="H38" s="22">
        <v>9</v>
      </c>
      <c r="I38" s="22">
        <v>1.45</v>
      </c>
    </row>
    <row r="39" spans="1:13" x14ac:dyDescent="0.25">
      <c r="A39" s="23"/>
      <c r="C39" s="22"/>
      <c r="D39" s="22"/>
      <c r="E39" s="22"/>
      <c r="H39" s="22">
        <v>10</v>
      </c>
      <c r="I39" s="22">
        <v>1.49</v>
      </c>
    </row>
    <row r="40" spans="1:13" x14ac:dyDescent="0.25">
      <c r="A40" s="23"/>
      <c r="C40" s="22"/>
      <c r="D40" s="22"/>
      <c r="E40" s="22"/>
      <c r="F40" s="22"/>
      <c r="G40" s="22"/>
    </row>
    <row r="41" spans="1:13" x14ac:dyDescent="0.25">
      <c r="A41" s="23"/>
      <c r="C41" s="22"/>
      <c r="D41" s="22"/>
      <c r="E41" s="22"/>
      <c r="F41" s="22"/>
      <c r="G41" s="22"/>
    </row>
    <row r="42" spans="1:13" x14ac:dyDescent="0.25">
      <c r="A42" s="23"/>
      <c r="C42" s="22"/>
      <c r="D42" s="22"/>
      <c r="E42" s="22"/>
      <c r="F42" s="22"/>
      <c r="G42" s="22"/>
    </row>
  </sheetData>
  <mergeCells count="2">
    <mergeCell ref="A6:I6"/>
    <mergeCell ref="K7:L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CD881D636A33040B44CA3E28A7ACA21" ma:contentTypeVersion="19" ma:contentTypeDescription="Skapa ett nytt dokument." ma:contentTypeScope="" ma:versionID="40c4d47bd9b3326c4076fb84cac13a07">
  <xsd:schema xmlns:xsd="http://www.w3.org/2001/XMLSchema" xmlns:xs="http://www.w3.org/2001/XMLSchema" xmlns:p="http://schemas.microsoft.com/office/2006/metadata/properties" xmlns:ns1="http://schemas.microsoft.com/sharepoint/v3" xmlns:ns2="c5c7cef5-72b0-4130-9324-a6e7454301c2" xmlns:ns3="f51bab5f-0ed0-40a8-8f36-6fe936a64348" targetNamespace="http://schemas.microsoft.com/office/2006/metadata/properties" ma:root="true" ma:fieldsID="e06a0d7c33d75c1cec6214f7c114a504" ns1:_="" ns2:_="" ns3:_="">
    <xsd:import namespace="http://schemas.microsoft.com/sharepoint/v3"/>
    <xsd:import namespace="c5c7cef5-72b0-4130-9324-a6e7454301c2"/>
    <xsd:import namespace="f51bab5f-0ed0-40a8-8f36-6fe936a64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Kommentar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genskaper för enhetlig efterlevnadsprincip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Gränssnittsåtgärd för enhetlig efterlevnadsprincip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7cef5-72b0-4130-9324-a6e74543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eringar" ma:readOnly="false" ma:fieldId="{5cf76f15-5ced-4ddc-b409-7134ff3c332f}" ma:taxonomyMulti="true" ma:sspId="0673cd2f-ce6e-4ea0-afbc-30713b896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mmentar" ma:index="23" nillable="true" ma:displayName="Kommentar" ma:format="Dropdown" ma:internalName="Kommentar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bab5f-0ed0-40a8-8f36-6fe936a6434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0988232-94e4-4e5f-a833-fb2c907e1b95}" ma:internalName="TaxCatchAll" ma:showField="CatchAllData" ma:web="f51bab5f-0ed0-40a8-8f36-6fe936a6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Kommentar xmlns="c5c7cef5-72b0-4130-9324-a6e7454301c2" xsi:nil="true"/>
    <_ip_UnifiedCompliancePolicyProperties xmlns="http://schemas.microsoft.com/sharepoint/v3" xsi:nil="true"/>
    <TaxCatchAll xmlns="f51bab5f-0ed0-40a8-8f36-6fe936a64348" xsi:nil="true"/>
    <lcf76f155ced4ddcb4097134ff3c332f xmlns="c5c7cef5-72b0-4130-9324-a6e7454301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41993C-690A-4136-8610-4718A49FA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c7cef5-72b0-4130-9324-a6e7454301c2"/>
    <ds:schemaRef ds:uri="f51bab5f-0ed0-40a8-8f36-6fe936a64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DE168E-0F37-439D-90D9-E2C5C5D2D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3BB97-E9FB-4B45-B702-18F7E1901F90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51bab5f-0ed0-40a8-8f36-6fe936a64348"/>
    <ds:schemaRef ds:uri="c5c7cef5-72b0-4130-9324-a6e7454301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Aalto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Scalera</dc:creator>
  <cp:keywords/>
  <dc:description/>
  <cp:lastModifiedBy>Edoardo Scalera</cp:lastModifiedBy>
  <cp:revision/>
  <dcterms:created xsi:type="dcterms:W3CDTF">2026-09-18T07:45:11Z</dcterms:created>
  <dcterms:modified xsi:type="dcterms:W3CDTF">2026-10-12T06:04:13Z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0x0101003CD881D636A33040B44CA3E28A7ACA21</vt:lpwstr>
  </property>
  <property fmtid="{D5CDD505-2E9C-101B-9397-08002B2CF9AE}" pid="3" name="MediaServiceImageTags">
    <vt:lpwstr/>
  </property>
</Properties>
</file>